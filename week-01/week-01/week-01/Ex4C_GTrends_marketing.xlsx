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DataAnalytics\week-01\week-01\"/>
    </mc:Choice>
  </mc:AlternateContent>
  <xr:revisionPtr revIDLastSave="0" documentId="13_ncr:11_{93FD4893-7585-40C4-BEC2-7B379F9B8892}" xr6:coauthVersionLast="47" xr6:coauthVersionMax="47" xr10:uidLastSave="{00000000-0000-0000-0000-000000000000}"/>
  <bookViews>
    <workbookView xWindow="8808" yWindow="996" windowWidth="13572" windowHeight="12684" activeTab="2" xr2:uid="{20C1F6C3-431B-4655-AD0B-AEAAEC1A8990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Term'!$B$1:$E$1</definedName>
  </definedNames>
  <calcPr calcId="191029"/>
  <pivotCaches>
    <pivotCache cacheId="1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D3" i="3"/>
  <c r="D4" i="3"/>
  <c r="D5" i="3"/>
  <c r="D6" i="3"/>
  <c r="D7" i="3"/>
  <c r="D8" i="3"/>
  <c r="D9" i="3"/>
  <c r="D10" i="3"/>
  <c r="D11" i="3"/>
  <c r="D2" i="3"/>
  <c r="H1" i="1"/>
</calcChain>
</file>

<file path=xl/sharedStrings.xml><?xml version="1.0" encoding="utf-8"?>
<sst xmlns="http://schemas.openxmlformats.org/spreadsheetml/2006/main" count="149" uniqueCount="69">
  <si>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</si>
  <si>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</si>
  <si>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</si>
  <si>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</si>
  <si>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</si>
  <si>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</si>
  <si>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</si>
  <si>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</si>
  <si>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</si>
  <si>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</si>
  <si>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</si>
  <si>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</si>
  <si>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</si>
  <si>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</si>
  <si>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</si>
  <si>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</si>
  <si>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</si>
  <si>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</si>
  <si>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</si>
  <si>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</si>
  <si>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</si>
  <si>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</si>
  <si>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</si>
  <si>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</si>
  <si>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</si>
  <si>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</si>
  <si>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</si>
  <si>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</si>
  <si>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</si>
  <si>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</si>
  <si>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</si>
  <si>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</si>
  <si>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</si>
  <si>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</si>
  <si>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</si>
  <si>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</si>
  <si>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</si>
  <si>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</si>
  <si>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</si>
  <si>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</si>
  <si>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</si>
  <si>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</si>
  <si>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</si>
  <si>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</si>
  <si>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</si>
  <si>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</si>
  <si>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</si>
  <si>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</si>
  <si>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</si>
  <si>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</si>
  <si>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</si>
  <si>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</si>
  <si>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</si>
  <si>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</si>
  <si>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</si>
  <si>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 xml:space="preserve">Hamburger: </t>
  </si>
  <si>
    <t xml:space="preserve">Milkshake: </t>
  </si>
  <si>
    <t xml:space="preserve">Breakup: </t>
  </si>
  <si>
    <t>State</t>
  </si>
  <si>
    <t>Sales Region</t>
  </si>
  <si>
    <t>Northwest</t>
  </si>
  <si>
    <t>North Central</t>
  </si>
  <si>
    <t>Hamburger</t>
  </si>
  <si>
    <t xml:space="preserve">Milkshake </t>
  </si>
  <si>
    <t>Row Labels</t>
  </si>
  <si>
    <t xml:space="preserve">Sum of Milkshake </t>
  </si>
  <si>
    <t>Grand Total</t>
  </si>
  <si>
    <t>Sum of Hamburger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</si>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</sst>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9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9" fontId="0" fillId="35" borderId="0" xfId="0" applyNumberFormat="1" applyFill="1"/>
    <xf numFmtId="9" fontId="0" fillId="36" borderId="0" xfId="0" applyNumberFormat="1" applyFill="1"/>
    <xf numFmtId="9" fontId="0" fillId="37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Font="1" applyBorder="1"/>
    <xf numFmtId="9" fontId="0" fillId="0" borderId="10" xfId="42" applyFont="1" applyBorder="1"/>
    <xf numFmtId="0" fontId="0" fillId="0" borderId="11" xfId="0" applyFont="1" applyBorder="1" applyAlignment="1">
      <alignment vertical="center" wrapText="1"/>
    </xf>
    <xf numFmtId="0" fontId="0" fillId="0" borderId="11" xfId="0" applyFont="1" applyBorder="1"/>
    <xf numFmtId="9" fontId="0" fillId="0" borderId="11" xfId="42" applyFont="1" applyBorder="1"/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483814523184598E-2"/>
          <c:y val="0.22481044036162146"/>
          <c:w val="0.63235826771653547"/>
          <c:h val="0.423877952755905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2-447B-8661-3D018E1592E0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General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62-447B-8661-3D018E159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448143"/>
        <c:axId val="1537448623"/>
      </c:barChart>
      <c:catAx>
        <c:axId val="153744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448623"/>
        <c:crosses val="autoZero"/>
        <c:auto val="1"/>
        <c:lblAlgn val="ctr"/>
        <c:lblOffset val="100"/>
        <c:noMultiLvlLbl val="0"/>
      </c:catAx>
      <c:valAx>
        <c:axId val="153744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44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167640</xdr:rowOff>
    </xdr:from>
    <xdr:to>
      <xdr:col>12</xdr:col>
      <xdr:colOff>304800</xdr:colOff>
      <xdr:row>15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A09FE1-5FDA-837E-B894-9F46A4829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ordonez" refreshedDate="46122.506182060184" createdVersion="8" refreshedVersion="8" minRefreshableVersion="3" recordCount="10" xr:uid="{9BB01118-8980-4E19-BBFE-A2E146A1CEF0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 " numFmtId="0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7"/>
  </r>
  <r>
    <x v="2"/>
    <x v="0"/>
    <n v="0.67"/>
    <n v="0.2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8"/>
    <n v="0.19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37242-D163-4A30-904A-974E6A40F708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 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093B-03AC-454F-B706-7ADB2EF24819}">
  <dimension ref="A1:K52"/>
  <sheetViews>
    <sheetView workbookViewId="0">
      <pane ySplit="1" topLeftCell="A8" activePane="bottomLeft" state="frozen"/>
      <selection pane="bottomLeft" activeCell="C49" sqref="C49"/>
    </sheetView>
  </sheetViews>
  <sheetFormatPr defaultRowHeight="14.4" x14ac:dyDescent="0.3"/>
  <cols>
    <col min="2" max="2" width="20" bestFit="1" customWidth="1"/>
    <col min="3" max="4" width="11.33203125" customWidth="1"/>
    <col min="5" max="5" width="8" customWidth="1"/>
    <col min="7" max="7" width="11.21875" bestFit="1" customWidth="1"/>
    <col min="8" max="8" width="8.88671875" customWidth="1"/>
    <col min="9" max="9" width="4.6640625" customWidth="1"/>
    <col min="10" max="10" width="10.109375" bestFit="1" customWidth="1"/>
    <col min="11" max="11" width="15.21875" bestFit="1" customWidth="1"/>
  </cols>
  <sheetData>
    <row r="1" spans="1:11" ht="15.6" x14ac:dyDescent="0.3">
      <c r="A1" t="s">
        <v>53</v>
      </c>
      <c r="B1" t="s">
        <v>0</v>
      </c>
      <c r="C1" s="5" t="s">
        <v>55</v>
      </c>
      <c r="D1" s="6" t="s">
        <v>56</v>
      </c>
      <c r="E1" s="7" t="s">
        <v>57</v>
      </c>
      <c r="G1" s="3" t="s">
        <v>52</v>
      </c>
      <c r="H1" s="2">
        <f>COUNTA(B2:B52)</f>
        <v>51</v>
      </c>
      <c r="J1" s="4" t="s">
        <v>54</v>
      </c>
      <c r="K1" s="4"/>
    </row>
    <row r="2" spans="1:11" x14ac:dyDescent="0.3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3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3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3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3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3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3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3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B1:E1" xr:uid="{650F093B-03AC-454F-B706-7ADB2EF24819}">
    <sortState xmlns:xlrd2="http://schemas.microsoft.com/office/spreadsheetml/2017/richdata2" ref="B2:E52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C139-9B06-42E7-83A3-17549741AC92}">
  <dimension ref="A1:AY4"/>
  <sheetViews>
    <sheetView workbookViewId="0">
      <pane ySplit="1" topLeftCell="A2" activePane="bottomLeft" state="frozen"/>
      <selection pane="bottomLeft" activeCell="A4" sqref="A4:XFD4"/>
    </sheetView>
  </sheetViews>
  <sheetFormatPr defaultRowHeight="14.4" x14ac:dyDescent="0.3"/>
  <cols>
    <col min="7" max="7" width="10.77734375" bestFit="1" customWidth="1"/>
  </cols>
  <sheetData>
    <row r="1" spans="1:51" x14ac:dyDescent="0.3">
      <c r="A1" t="s">
        <v>3</v>
      </c>
      <c r="B1" t="s">
        <v>49</v>
      </c>
      <c r="C1" t="s">
        <v>26</v>
      </c>
      <c r="D1" t="s">
        <v>19</v>
      </c>
      <c r="E1" t="s">
        <v>33</v>
      </c>
      <c r="F1" t="s">
        <v>40</v>
      </c>
      <c r="G1" t="s">
        <v>18</v>
      </c>
      <c r="H1" t="s">
        <v>10</v>
      </c>
      <c r="I1" t="s">
        <v>51</v>
      </c>
      <c r="J1" t="s">
        <v>23</v>
      </c>
      <c r="K1" t="s">
        <v>14</v>
      </c>
      <c r="L1" t="s">
        <v>50</v>
      </c>
      <c r="M1" t="s">
        <v>20</v>
      </c>
      <c r="N1" t="s">
        <v>11</v>
      </c>
      <c r="O1" t="s">
        <v>16</v>
      </c>
      <c r="P1" t="s">
        <v>32</v>
      </c>
      <c r="Q1" t="s">
        <v>24</v>
      </c>
      <c r="R1" t="s">
        <v>4</v>
      </c>
      <c r="S1" t="s">
        <v>27</v>
      </c>
      <c r="T1" t="s">
        <v>46</v>
      </c>
      <c r="U1" t="s">
        <v>25</v>
      </c>
      <c r="V1" t="s">
        <v>42</v>
      </c>
      <c r="W1" t="s">
        <v>22</v>
      </c>
      <c r="X1" t="s">
        <v>36</v>
      </c>
      <c r="Y1" t="s">
        <v>28</v>
      </c>
      <c r="Z1" t="s">
        <v>21</v>
      </c>
      <c r="AA1" t="s">
        <v>48</v>
      </c>
      <c r="AB1" t="s">
        <v>35</v>
      </c>
      <c r="AC1" t="s">
        <v>15</v>
      </c>
      <c r="AD1" t="s">
        <v>38</v>
      </c>
      <c r="AE1" t="s">
        <v>31</v>
      </c>
      <c r="AF1" t="s">
        <v>39</v>
      </c>
      <c r="AG1" t="s">
        <v>37</v>
      </c>
      <c r="AH1" t="s">
        <v>2</v>
      </c>
      <c r="AI1" t="s">
        <v>34</v>
      </c>
      <c r="AJ1" t="s">
        <v>8</v>
      </c>
      <c r="AK1" t="s">
        <v>12</v>
      </c>
      <c r="AL1" t="s">
        <v>41</v>
      </c>
      <c r="AM1" t="s">
        <v>17</v>
      </c>
      <c r="AN1" t="s">
        <v>13</v>
      </c>
      <c r="AO1" t="s">
        <v>1</v>
      </c>
      <c r="AP1" t="s">
        <v>44</v>
      </c>
      <c r="AQ1" t="s">
        <v>5</v>
      </c>
      <c r="AR1" t="s">
        <v>30</v>
      </c>
      <c r="AS1" t="s">
        <v>6</v>
      </c>
      <c r="AT1" t="s">
        <v>47</v>
      </c>
      <c r="AU1" t="s">
        <v>7</v>
      </c>
      <c r="AV1" t="s">
        <v>43</v>
      </c>
      <c r="AW1" t="s">
        <v>9</v>
      </c>
      <c r="AX1" t="s">
        <v>29</v>
      </c>
      <c r="AY1" t="s">
        <v>45</v>
      </c>
    </row>
    <row r="2" spans="1:51" s="5" customFormat="1" x14ac:dyDescent="0.3">
      <c r="A2" s="8">
        <v>0.65</v>
      </c>
      <c r="B2" s="8">
        <v>0.72</v>
      </c>
      <c r="C2" s="8">
        <v>0.67</v>
      </c>
      <c r="D2" s="8">
        <v>0.67</v>
      </c>
      <c r="E2" s="8">
        <v>0.65</v>
      </c>
      <c r="F2" s="8">
        <v>0.68</v>
      </c>
      <c r="G2" s="8">
        <v>0.64</v>
      </c>
      <c r="H2" s="8">
        <v>0.61</v>
      </c>
      <c r="I2" s="8">
        <v>0.66</v>
      </c>
      <c r="J2" s="8">
        <v>0.63</v>
      </c>
      <c r="K2" s="8">
        <v>0.63</v>
      </c>
      <c r="L2" s="8">
        <v>0.73</v>
      </c>
      <c r="M2" s="8">
        <v>0.67</v>
      </c>
      <c r="N2" s="8">
        <v>0.63</v>
      </c>
      <c r="O2" s="8">
        <v>0.66</v>
      </c>
      <c r="P2" s="8">
        <v>0.67</v>
      </c>
      <c r="Q2" s="8">
        <v>0.67</v>
      </c>
      <c r="R2" s="8">
        <v>0.63</v>
      </c>
      <c r="S2" s="8">
        <v>0.66</v>
      </c>
      <c r="T2" s="8">
        <v>0.7</v>
      </c>
      <c r="U2" s="8">
        <v>0.62</v>
      </c>
      <c r="V2" s="8">
        <v>0.62</v>
      </c>
      <c r="W2" s="8">
        <v>0.67</v>
      </c>
      <c r="X2" s="8">
        <v>0.68</v>
      </c>
      <c r="Y2" s="8">
        <v>0.69</v>
      </c>
      <c r="Z2" s="8">
        <v>0.66</v>
      </c>
      <c r="AA2" s="8">
        <v>0.75</v>
      </c>
      <c r="AB2" s="8">
        <v>0.69</v>
      </c>
      <c r="AC2" s="8">
        <v>0.67</v>
      </c>
      <c r="AD2" s="8">
        <v>0.65</v>
      </c>
      <c r="AE2" s="8">
        <v>0.61</v>
      </c>
      <c r="AF2" s="8">
        <v>0.67</v>
      </c>
      <c r="AG2" s="8">
        <v>0.63</v>
      </c>
      <c r="AH2" s="8">
        <v>0.64</v>
      </c>
      <c r="AI2" s="8">
        <v>0.7</v>
      </c>
      <c r="AJ2" s="8">
        <v>0.63</v>
      </c>
      <c r="AK2" s="8">
        <v>0.69</v>
      </c>
      <c r="AL2" s="8">
        <v>0.69</v>
      </c>
      <c r="AM2" s="8">
        <v>0.62</v>
      </c>
      <c r="AN2" s="8">
        <v>0.63</v>
      </c>
      <c r="AO2" s="8">
        <v>0.65</v>
      </c>
      <c r="AP2" s="8">
        <v>0.75</v>
      </c>
      <c r="AQ2" s="8">
        <v>0.65</v>
      </c>
      <c r="AR2" s="8">
        <v>0.69</v>
      </c>
      <c r="AS2" s="8">
        <v>0.66</v>
      </c>
      <c r="AT2" s="8">
        <v>0.68</v>
      </c>
      <c r="AU2" s="8">
        <v>0.63</v>
      </c>
      <c r="AV2" s="8">
        <v>0.68</v>
      </c>
      <c r="AW2" s="8">
        <v>0.63</v>
      </c>
      <c r="AX2" s="8">
        <v>0.66</v>
      </c>
      <c r="AY2" s="8">
        <v>0.71</v>
      </c>
    </row>
    <row r="3" spans="1:51" s="6" customFormat="1" x14ac:dyDescent="0.3">
      <c r="A3" s="9">
        <v>0.23</v>
      </c>
      <c r="B3" s="9">
        <v>0.15</v>
      </c>
      <c r="C3" s="9">
        <v>0.2</v>
      </c>
      <c r="D3" s="9">
        <v>0.21</v>
      </c>
      <c r="E3" s="9">
        <v>0.2</v>
      </c>
      <c r="F3" s="9">
        <v>0.18</v>
      </c>
      <c r="G3" s="9">
        <v>0.22</v>
      </c>
      <c r="H3" s="9">
        <v>0.25</v>
      </c>
      <c r="I3" s="9">
        <v>0.17</v>
      </c>
      <c r="J3" s="9">
        <v>0.23</v>
      </c>
      <c r="K3" s="9">
        <v>0.23</v>
      </c>
      <c r="L3" s="9">
        <v>0.14000000000000001</v>
      </c>
      <c r="M3" s="9">
        <v>0.2</v>
      </c>
      <c r="N3" s="9">
        <v>0.23</v>
      </c>
      <c r="O3" s="9">
        <v>0.21</v>
      </c>
      <c r="P3" s="9">
        <v>0.2</v>
      </c>
      <c r="Q3" s="9">
        <v>0.19</v>
      </c>
      <c r="R3" s="9">
        <v>0.23</v>
      </c>
      <c r="S3" s="9">
        <v>0.21</v>
      </c>
      <c r="T3" s="9">
        <v>0.17</v>
      </c>
      <c r="U3" s="9">
        <v>0.23</v>
      </c>
      <c r="V3" s="9">
        <v>0.21</v>
      </c>
      <c r="W3" s="9">
        <v>0.2</v>
      </c>
      <c r="X3" s="9">
        <v>0.19</v>
      </c>
      <c r="Y3" s="9">
        <v>0.2</v>
      </c>
      <c r="Z3" s="9">
        <v>0.2</v>
      </c>
      <c r="AA3" s="9">
        <v>0.14000000000000001</v>
      </c>
      <c r="AB3" s="9">
        <v>0.18</v>
      </c>
      <c r="AC3" s="9">
        <v>0.2</v>
      </c>
      <c r="AD3" s="9">
        <v>0.21</v>
      </c>
      <c r="AE3" s="9">
        <v>0.23</v>
      </c>
      <c r="AF3" s="9">
        <v>0.19</v>
      </c>
      <c r="AG3" s="9">
        <v>0.21</v>
      </c>
      <c r="AH3" s="9">
        <v>0.23</v>
      </c>
      <c r="AI3" s="9">
        <v>0.18</v>
      </c>
      <c r="AJ3" s="9">
        <v>0.23</v>
      </c>
      <c r="AK3" s="9">
        <v>0.19</v>
      </c>
      <c r="AL3" s="9">
        <v>0.17</v>
      </c>
      <c r="AM3" s="9">
        <v>0.23</v>
      </c>
      <c r="AN3" s="9">
        <v>0.24</v>
      </c>
      <c r="AO3" s="9">
        <v>0.23</v>
      </c>
      <c r="AP3" s="9">
        <v>0.14000000000000001</v>
      </c>
      <c r="AQ3" s="9">
        <v>0.22</v>
      </c>
      <c r="AR3" s="9">
        <v>0.19</v>
      </c>
      <c r="AS3" s="9">
        <v>0.21</v>
      </c>
      <c r="AT3" s="9">
        <v>0.17</v>
      </c>
      <c r="AU3" s="9">
        <v>0.24</v>
      </c>
      <c r="AV3" s="9">
        <v>0.18</v>
      </c>
      <c r="AW3" s="9">
        <v>0.24</v>
      </c>
      <c r="AX3" s="9">
        <v>0.2</v>
      </c>
      <c r="AY3" s="9">
        <v>0.16</v>
      </c>
    </row>
    <row r="4" spans="1:51" s="7" customFormat="1" x14ac:dyDescent="0.3">
      <c r="A4" s="10">
        <v>0.12</v>
      </c>
      <c r="B4" s="10">
        <v>0.13</v>
      </c>
      <c r="C4" s="10">
        <v>0.13</v>
      </c>
      <c r="D4" s="10">
        <v>0.12</v>
      </c>
      <c r="E4" s="10">
        <v>0.15</v>
      </c>
      <c r="F4" s="10">
        <v>0.14000000000000001</v>
      </c>
      <c r="G4" s="10">
        <v>0.14000000000000001</v>
      </c>
      <c r="H4" s="10">
        <v>0.14000000000000001</v>
      </c>
      <c r="I4" s="10">
        <v>0.17</v>
      </c>
      <c r="J4" s="10">
        <v>0.14000000000000001</v>
      </c>
      <c r="K4" s="10">
        <v>0.14000000000000001</v>
      </c>
      <c r="L4" s="10">
        <v>0.13</v>
      </c>
      <c r="M4" s="10">
        <v>0.13</v>
      </c>
      <c r="N4" s="10">
        <v>0.14000000000000001</v>
      </c>
      <c r="O4" s="10">
        <v>0.13</v>
      </c>
      <c r="P4" s="10">
        <v>0.13</v>
      </c>
      <c r="Q4" s="10">
        <v>0.14000000000000001</v>
      </c>
      <c r="R4" s="10">
        <v>0.14000000000000001</v>
      </c>
      <c r="S4" s="10">
        <v>0.13</v>
      </c>
      <c r="T4" s="10">
        <v>0.13</v>
      </c>
      <c r="U4" s="10">
        <v>0.15</v>
      </c>
      <c r="V4" s="10">
        <v>0.17</v>
      </c>
      <c r="W4" s="10">
        <v>0.13</v>
      </c>
      <c r="X4" s="10">
        <v>0.13</v>
      </c>
      <c r="Y4" s="10">
        <v>0.11</v>
      </c>
      <c r="Z4" s="10">
        <v>0.14000000000000001</v>
      </c>
      <c r="AA4" s="10">
        <v>0.11</v>
      </c>
      <c r="AB4" s="10">
        <v>0.13</v>
      </c>
      <c r="AC4" s="10">
        <v>0.13</v>
      </c>
      <c r="AD4" s="10">
        <v>0.14000000000000001</v>
      </c>
      <c r="AE4" s="10">
        <v>0.16</v>
      </c>
      <c r="AF4" s="10">
        <v>0.14000000000000001</v>
      </c>
      <c r="AG4" s="10">
        <v>0.16</v>
      </c>
      <c r="AH4" s="10">
        <v>0.13</v>
      </c>
      <c r="AI4" s="10">
        <v>0.12</v>
      </c>
      <c r="AJ4" s="10">
        <v>0.14000000000000001</v>
      </c>
      <c r="AK4" s="10">
        <v>0.12</v>
      </c>
      <c r="AL4" s="10">
        <v>0.14000000000000001</v>
      </c>
      <c r="AM4" s="10">
        <v>0.15</v>
      </c>
      <c r="AN4" s="10">
        <v>0.13</v>
      </c>
      <c r="AO4" s="10">
        <v>0.12</v>
      </c>
      <c r="AP4" s="10">
        <v>0.11</v>
      </c>
      <c r="AQ4" s="10">
        <v>0.13</v>
      </c>
      <c r="AR4" s="10">
        <v>0.12</v>
      </c>
      <c r="AS4" s="10">
        <v>0.13</v>
      </c>
      <c r="AT4" s="10">
        <v>0.15</v>
      </c>
      <c r="AU4" s="10">
        <v>0.13</v>
      </c>
      <c r="AV4" s="10">
        <v>0.14000000000000001</v>
      </c>
      <c r="AW4" s="10">
        <v>0.13</v>
      </c>
      <c r="AX4" s="10">
        <v>0.14000000000000001</v>
      </c>
      <c r="AY4" s="10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C705-5592-4610-88C6-5C1B1DB22A03}">
  <dimension ref="A1:D26"/>
  <sheetViews>
    <sheetView tabSelected="1" workbookViewId="0">
      <selection activeCell="D6" sqref="D6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88671875" bestFit="1" customWidth="1"/>
    <col min="4" max="4" width="9.33203125" bestFit="1" customWidth="1"/>
  </cols>
  <sheetData>
    <row r="1" spans="1:4" ht="15" thickBot="1" x14ac:dyDescent="0.35">
      <c r="A1" s="19" t="s">
        <v>58</v>
      </c>
      <c r="B1" s="20" t="s">
        <v>59</v>
      </c>
      <c r="C1" s="20" t="s">
        <v>62</v>
      </c>
      <c r="D1" s="21" t="s">
        <v>63</v>
      </c>
    </row>
    <row r="2" spans="1:4" x14ac:dyDescent="0.3">
      <c r="A2" s="16" t="s">
        <v>43</v>
      </c>
      <c r="B2" s="17" t="s">
        <v>60</v>
      </c>
      <c r="C2" s="18">
        <f>VLOOKUP('Sales Region Lookup'!A2, 'By Search Term'!B:C, 2, FALSE)</f>
        <v>0.68</v>
      </c>
      <c r="D2" s="17">
        <f>_xlfn.XLOOKUP(A2, 'By Search Term'!B1:B52, 'By Search Term'!D1:D52, "not found")</f>
        <v>0.18</v>
      </c>
    </row>
    <row r="3" spans="1:4" x14ac:dyDescent="0.3">
      <c r="A3" s="14" t="s">
        <v>41</v>
      </c>
      <c r="B3" s="14" t="s">
        <v>60</v>
      </c>
      <c r="C3" s="15">
        <f>VLOOKUP('Sales Region Lookup'!A3, 'By Search Term'!B:C, 2, FALSE)</f>
        <v>0.69</v>
      </c>
      <c r="D3" s="14">
        <f>_xlfn.XLOOKUP(A3, 'By Search Term'!B2:B53, 'By Search Term'!D2:D53, "not found")</f>
        <v>0.17</v>
      </c>
    </row>
    <row r="4" spans="1:4" x14ac:dyDescent="0.3">
      <c r="A4" s="14" t="s">
        <v>20</v>
      </c>
      <c r="B4" s="14" t="s">
        <v>60</v>
      </c>
      <c r="C4" s="15">
        <f>VLOOKUP('Sales Region Lookup'!A4, 'By Search Term'!B:C, 2, FALSE)</f>
        <v>0.67</v>
      </c>
      <c r="D4" s="14">
        <f>_xlfn.XLOOKUP(A4, 'By Search Term'!B3:B54, 'By Search Term'!D3:D54, "not found")</f>
        <v>0.2</v>
      </c>
    </row>
    <row r="5" spans="1:4" x14ac:dyDescent="0.3">
      <c r="A5" s="14" t="s">
        <v>48</v>
      </c>
      <c r="B5" s="14" t="s">
        <v>60</v>
      </c>
      <c r="C5" s="15">
        <f>VLOOKUP('Sales Region Lookup'!A5, 'By Search Term'!B:C, 2, FALSE)</f>
        <v>0.75</v>
      </c>
      <c r="D5" s="14">
        <f>_xlfn.XLOOKUP(A5, 'By Search Term'!B4:B55, 'By Search Term'!D4:D55, "not found")</f>
        <v>0.14000000000000001</v>
      </c>
    </row>
    <row r="6" spans="1:4" x14ac:dyDescent="0.3">
      <c r="A6" s="14" t="s">
        <v>34</v>
      </c>
      <c r="B6" s="14" t="s">
        <v>61</v>
      </c>
      <c r="C6" s="15">
        <f>VLOOKUP('Sales Region Lookup'!A6, 'By Search Term'!B:C, 2, FALSE)</f>
        <v>0.7</v>
      </c>
      <c r="D6" s="14">
        <f>_xlfn.XLOOKUP(A6, 'By Search Term'!B5:B56, 'By Search Term'!D5:D56, "not found")</f>
        <v>0.18</v>
      </c>
    </row>
    <row r="7" spans="1:4" x14ac:dyDescent="0.3">
      <c r="A7" s="14" t="s">
        <v>44</v>
      </c>
      <c r="B7" s="14" t="s">
        <v>61</v>
      </c>
      <c r="C7" s="15">
        <f>VLOOKUP('Sales Region Lookup'!A7, 'By Search Term'!B:C, 2, FALSE)</f>
        <v>0.75</v>
      </c>
      <c r="D7" s="14">
        <f>_xlfn.XLOOKUP(A7, 'By Search Term'!B6:B57, 'By Search Term'!D6:D57, "not found")</f>
        <v>0.14000000000000001</v>
      </c>
    </row>
    <row r="8" spans="1:4" x14ac:dyDescent="0.3">
      <c r="A8" s="14" t="s">
        <v>35</v>
      </c>
      <c r="B8" s="14" t="s">
        <v>61</v>
      </c>
      <c r="C8" s="15">
        <f>VLOOKUP('Sales Region Lookup'!A8, 'By Search Term'!B:C, 2, FALSE)</f>
        <v>0.69</v>
      </c>
      <c r="D8" s="14">
        <f>_xlfn.XLOOKUP(A8, 'By Search Term'!B7:B58, 'By Search Term'!D7:D58, "not found")</f>
        <v>0.18</v>
      </c>
    </row>
    <row r="9" spans="1:4" x14ac:dyDescent="0.3">
      <c r="A9" s="14" t="s">
        <v>36</v>
      </c>
      <c r="B9" s="14" t="s">
        <v>61</v>
      </c>
      <c r="C9" s="15">
        <f>VLOOKUP('Sales Region Lookup'!A9, 'By Search Term'!B:C, 2, FALSE)</f>
        <v>0.68</v>
      </c>
      <c r="D9" s="14">
        <f>_xlfn.XLOOKUP(A9, 'By Search Term'!B8:B59, 'By Search Term'!D8:D59, "not found")</f>
        <v>0.19</v>
      </c>
    </row>
    <row r="10" spans="1:4" x14ac:dyDescent="0.3">
      <c r="A10" s="14" t="s">
        <v>29</v>
      </c>
      <c r="B10" s="14" t="s">
        <v>61</v>
      </c>
      <c r="C10" s="15">
        <f>VLOOKUP('Sales Region Lookup'!A10, 'By Search Term'!B:C, 2, FALSE)</f>
        <v>0.66</v>
      </c>
      <c r="D10" s="14">
        <f>_xlfn.XLOOKUP(A10, 'By Search Term'!B9:B60, 'By Search Term'!D9:D60, "not found")</f>
        <v>0.2</v>
      </c>
    </row>
    <row r="11" spans="1:4" x14ac:dyDescent="0.3">
      <c r="A11" s="14" t="s">
        <v>22</v>
      </c>
      <c r="B11" s="14" t="s">
        <v>61</v>
      </c>
      <c r="C11" s="15">
        <f>VLOOKUP('Sales Region Lookup'!A11, 'By Search Term'!B:C, 2, FALSE)</f>
        <v>0.67</v>
      </c>
      <c r="D11" s="14">
        <f>_xlfn.XLOOKUP(A11, 'By Search Term'!B10:B61, 'By Search Term'!D10:D61, "not found")</f>
        <v>0.2</v>
      </c>
    </row>
    <row r="13" spans="1:4" x14ac:dyDescent="0.3">
      <c r="A13" s="11" t="s">
        <v>59</v>
      </c>
      <c r="B13" t="s">
        <v>68</v>
      </c>
    </row>
    <row r="15" spans="1:4" x14ac:dyDescent="0.3">
      <c r="A15" s="11" t="s">
        <v>64</v>
      </c>
      <c r="B15" t="s">
        <v>67</v>
      </c>
      <c r="C15" t="s">
        <v>65</v>
      </c>
    </row>
    <row r="16" spans="1:4" x14ac:dyDescent="0.3">
      <c r="A16" s="12" t="s">
        <v>20</v>
      </c>
      <c r="B16" s="1">
        <v>0.67</v>
      </c>
      <c r="C16" s="13">
        <v>0.2</v>
      </c>
    </row>
    <row r="17" spans="1:3" x14ac:dyDescent="0.3">
      <c r="A17" s="12" t="s">
        <v>22</v>
      </c>
      <c r="B17" s="1">
        <v>0.67</v>
      </c>
      <c r="C17" s="13">
        <v>0.2</v>
      </c>
    </row>
    <row r="18" spans="1:3" x14ac:dyDescent="0.3">
      <c r="A18" s="12" t="s">
        <v>36</v>
      </c>
      <c r="B18" s="1">
        <v>0.68</v>
      </c>
      <c r="C18" s="13">
        <v>0.19</v>
      </c>
    </row>
    <row r="19" spans="1:3" x14ac:dyDescent="0.3">
      <c r="A19" s="12" t="s">
        <v>48</v>
      </c>
      <c r="B19" s="1">
        <v>0.75</v>
      </c>
      <c r="C19" s="13">
        <v>0.14000000000000001</v>
      </c>
    </row>
    <row r="20" spans="1:3" x14ac:dyDescent="0.3">
      <c r="A20" s="12" t="s">
        <v>35</v>
      </c>
      <c r="B20" s="1">
        <v>0.69</v>
      </c>
      <c r="C20" s="13">
        <v>0.18</v>
      </c>
    </row>
    <row r="21" spans="1:3" x14ac:dyDescent="0.3">
      <c r="A21" s="12" t="s">
        <v>34</v>
      </c>
      <c r="B21" s="1">
        <v>0.7</v>
      </c>
      <c r="C21" s="13">
        <v>0.18</v>
      </c>
    </row>
    <row r="22" spans="1:3" x14ac:dyDescent="0.3">
      <c r="A22" s="12" t="s">
        <v>41</v>
      </c>
      <c r="B22" s="1">
        <v>0.69</v>
      </c>
      <c r="C22" s="13">
        <v>0.17</v>
      </c>
    </row>
    <row r="23" spans="1:3" x14ac:dyDescent="0.3">
      <c r="A23" s="12" t="s">
        <v>44</v>
      </c>
      <c r="B23" s="1">
        <v>0.75</v>
      </c>
      <c r="C23" s="13">
        <v>0.14000000000000001</v>
      </c>
    </row>
    <row r="24" spans="1:3" x14ac:dyDescent="0.3">
      <c r="A24" s="12" t="s">
        <v>43</v>
      </c>
      <c r="B24" s="1">
        <v>0.68</v>
      </c>
      <c r="C24" s="13">
        <v>0.18</v>
      </c>
    </row>
    <row r="25" spans="1:3" x14ac:dyDescent="0.3">
      <c r="A25" s="12" t="s">
        <v>29</v>
      </c>
      <c r="B25" s="1">
        <v>0.66</v>
      </c>
      <c r="C25" s="13">
        <v>0.2</v>
      </c>
    </row>
    <row r="26" spans="1:3" x14ac:dyDescent="0.3">
      <c r="A26" s="12" t="s">
        <v>66</v>
      </c>
      <c r="B26" s="1">
        <v>6.9399999999999995</v>
      </c>
      <c r="C26" s="13">
        <v>1.7799999999999998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ordonez</dc:creator>
  <cp:lastModifiedBy>victoria ordonez</cp:lastModifiedBy>
  <dcterms:created xsi:type="dcterms:W3CDTF">2026-04-09T14:37:45Z</dcterms:created>
  <dcterms:modified xsi:type="dcterms:W3CDTF">2026-04-10T16:10:54Z</dcterms:modified>
</cp:coreProperties>
</file>