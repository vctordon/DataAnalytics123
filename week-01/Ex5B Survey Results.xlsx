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victoriaordonez\Documents\DataAnalytics\week-01\week-01\"/>
    </mc:Choice>
  </mc:AlternateContent>
  <xr:revisionPtr revIDLastSave="0" documentId="8_{436A8AA9-28A6-40C6-92C7-44BFCB9D847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  <sheet name="Sheet3" sheetId="3" r:id="rId3"/>
  </sheet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1" l="1"/>
  <c r="F26" i="1"/>
  <c r="F23" i="1"/>
  <c r="F20" i="1"/>
  <c r="F17" i="1"/>
  <c r="D2" i="1"/>
  <c r="D3" i="1"/>
  <c r="D4" i="1"/>
  <c r="D5" i="1"/>
  <c r="D6" i="1"/>
  <c r="D7" i="1"/>
  <c r="D8" i="1"/>
  <c r="D9" i="1"/>
  <c r="D10" i="1"/>
  <c r="D11" i="1"/>
  <c r="D12" i="1"/>
  <c r="D13" i="1" l="1"/>
</calcChain>
</file>

<file path=xl/sharedStrings.xml><?xml version="1.0" encoding="utf-8"?>
<sst xmlns="http://schemas.openxmlformats.org/spreadsheetml/2006/main" count="106" uniqueCount="60">
  <si>
    <t>Id</t>
  </si>
  <si>
    <t>Start time</t>
  </si>
  <si>
    <t>Completion time</t>
  </si>
  <si>
    <t>Time to complete</t>
  </si>
  <si>
    <t>Email</t>
  </si>
  <si>
    <t>Name</t>
  </si>
  <si>
    <t>How would you rate your Cat Coffee House experience today? </t>
  </si>
  <si>
    <t>How often do you visit the Cat Coffee House? </t>
  </si>
  <si>
    <t>What do you usually visit Cat Coffee House for? </t>
  </si>
  <si>
    <t>Would Cat Coffee House rewards interest you?</t>
  </si>
  <si>
    <t>What rewards would interest you most?</t>
  </si>
  <si>
    <t>smelgara@my.yearupunited.org</t>
  </si>
  <si>
    <t>smaya melgara</t>
  </si>
  <si>
    <t>Purr-fect</t>
  </si>
  <si>
    <t>Daily</t>
  </si>
  <si>
    <t>Spending time with the cats</t>
  </si>
  <si>
    <t>Yes</t>
  </si>
  <si>
    <t>Free drink of choice</t>
  </si>
  <si>
    <t>cpalacios@my.yearupunited.org</t>
  </si>
  <si>
    <t>charles palacios</t>
  </si>
  <si>
    <t>Weekly</t>
  </si>
  <si>
    <t>Cat Coffee House Merch</t>
  </si>
  <si>
    <t>dberhane@my.yearupunited.org</t>
  </si>
  <si>
    <t>danait berhane</t>
  </si>
  <si>
    <t>Okay</t>
  </si>
  <si>
    <t>Monthly</t>
  </si>
  <si>
    <t>Food and pastries</t>
  </si>
  <si>
    <t>Maybe</t>
  </si>
  <si>
    <t>Free pastry of choice</t>
  </si>
  <si>
    <t>amartinez3@my.yearupunited.org</t>
  </si>
  <si>
    <t>alondra martinez</t>
  </si>
  <si>
    <t>achanthadara@my.yearupunited.org</t>
  </si>
  <si>
    <t>alexus chanthadara</t>
  </si>
  <si>
    <t>Yearly</t>
  </si>
  <si>
    <t>Discounts on purchases</t>
  </si>
  <si>
    <t>BHambleton@YearUp.org</t>
  </si>
  <si>
    <t>Bess Hambleton</t>
  </si>
  <si>
    <t>Coffee or tea</t>
  </si>
  <si>
    <t>callen@my.yearupunited.org</t>
  </si>
  <si>
    <t>corey allen</t>
  </si>
  <si>
    <t>Paws-ibly better</t>
  </si>
  <si>
    <t>somer@my.yearupunited.org</t>
  </si>
  <si>
    <t>samia omer</t>
  </si>
  <si>
    <t>tzergaw@my.yearupunited.org</t>
  </si>
  <si>
    <t>tihitina zergaw</t>
  </si>
  <si>
    <t>Great</t>
  </si>
  <si>
    <t>vordonez@my.yearupunited.org</t>
  </si>
  <si>
    <t>victoria ordonez</t>
  </si>
  <si>
    <t>bcollins@my.yearupunited.org</t>
  </si>
  <si>
    <t>blake collins</t>
  </si>
  <si>
    <t>Not my cup of catnip</t>
  </si>
  <si>
    <t>No</t>
  </si>
  <si>
    <t>Purr-fect:</t>
  </si>
  <si>
    <t xml:space="preserve">Great: </t>
  </si>
  <si>
    <t>Okay:</t>
  </si>
  <si>
    <t>Paws-ibly better:</t>
  </si>
  <si>
    <t>Not my cup of catnip:</t>
  </si>
  <si>
    <t>Row Labels</t>
  </si>
  <si>
    <t>Count of How would you rate your Cat Coffee House experience today? 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</si>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</sst>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0" borderId="0" xfId="0" applyNumberFormat="1"/>
    <xf numFmtId="45" fontId="0" fillId="0" borderId="0" xfId="0" applyNumberFormat="1"/>
    <xf numFmtId="49" fontId="0" fillId="0" borderId="0" xfId="0" applyNumberFormat="1"/>
    <xf numFmtId="0" fontId="1" fillId="0" borderId="0" xfId="0" quotePrefix="1" applyFont="1"/>
    <xf numFmtId="0" fontId="0" fillId="0" borderId="1" xfId="0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0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8" formatCode="mm:ss"/>
    </dxf>
    <dxf>
      <numFmt numFmtId="28" formatCode="mm:ss"/>
    </dxf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[Ex5B Survey Results.xlsx]Sheet3!PivotTable2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DD5A13"/>
                </a:solidFill>
              </a:rPr>
              <a:t>'Would Cat Coffee House rewards interest you?'.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FFFF00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FFFF00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FFFF00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rgbClr val="FFFF00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FFFF00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Sheet3!$B$2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1D6-4456-8E9E-E677EF862C63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1D6-4456-8E9E-E677EF862C63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1D6-4456-8E9E-E677EF862C63}"/>
              </c:ext>
            </c:extLst>
          </c:dPt>
          <c:cat>
            <c:strRef>
              <c:f>Sheet3!$A$3:$A$6</c:f>
              <c:strCache>
                <c:ptCount val="3"/>
                <c:pt idx="0">
                  <c:v>Yes</c:v>
                </c:pt>
                <c:pt idx="1">
                  <c:v>Maybe</c:v>
                </c:pt>
                <c:pt idx="2">
                  <c:v>No</c:v>
                </c:pt>
              </c:strCache>
            </c:strRef>
          </c:cat>
          <c:val>
            <c:numRef>
              <c:f>Sheet3!$B$3:$B$6</c:f>
              <c:numCache>
                <c:formatCode>General</c:formatCode>
                <c:ptCount val="3"/>
                <c:pt idx="0">
                  <c:v>7</c:v>
                </c:pt>
                <c:pt idx="1">
                  <c:v>3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1D6-4456-8E9E-E677EF862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1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[Ex5B Survey Results.xlsx]Sheet2!PivotTable1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Sheet2!$A$3:$A$7</c:f>
              <c:strCache>
                <c:ptCount val="4"/>
                <c:pt idx="0">
                  <c:v>Free drink of choice</c:v>
                </c:pt>
                <c:pt idx="1">
                  <c:v>Discounts on purchases</c:v>
                </c:pt>
                <c:pt idx="2">
                  <c:v>Free pastry of choice</c:v>
                </c:pt>
                <c:pt idx="3">
                  <c:v>Cat Coffee House Merch</c:v>
                </c:pt>
              </c:strCache>
            </c:strRef>
          </c:cat>
          <c:val>
            <c:numRef>
              <c:f>Sheet2!$B$3:$B$7</c:f>
              <c:numCache>
                <c:formatCode>General</c:formatCode>
                <c:ptCount val="4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90-4597-8EA0-53EF45747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284467208"/>
        <c:axId val="1313563656"/>
      </c:barChart>
      <c:catAx>
        <c:axId val="12844672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What rewards would interest you most?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3563656"/>
        <c:crosses val="autoZero"/>
        <c:auto val="1"/>
        <c:lblAlgn val="ctr"/>
        <c:lblOffset val="100"/>
        <c:noMultiLvlLbl val="0"/>
      </c:catAx>
      <c:valAx>
        <c:axId val="1313563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How would you rate your Cat Coffee House experience today?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467208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[Ex5B Survey Results.xlsx]Sheet2!PivotTable1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Sheet2!$A$3:$A$7</c:f>
              <c:strCache>
                <c:ptCount val="4"/>
                <c:pt idx="0">
                  <c:v>Free drink of choice</c:v>
                </c:pt>
                <c:pt idx="1">
                  <c:v>Discounts on purchases</c:v>
                </c:pt>
                <c:pt idx="2">
                  <c:v>Free pastry of choice</c:v>
                </c:pt>
                <c:pt idx="3">
                  <c:v>Cat Coffee House Merch</c:v>
                </c:pt>
              </c:strCache>
            </c:strRef>
          </c:cat>
          <c:val>
            <c:numRef>
              <c:f>Sheet2!$B$3:$B$7</c:f>
              <c:numCache>
                <c:formatCode>General</c:formatCode>
                <c:ptCount val="4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E3C-46AF-8F9F-E9AAD768D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284467208"/>
        <c:axId val="1313563656"/>
      </c:barChart>
      <c:catAx>
        <c:axId val="12844672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What rewards would interest you most?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3563656"/>
        <c:crosses val="autoZero"/>
        <c:auto val="1"/>
        <c:lblAlgn val="ctr"/>
        <c:lblOffset val="100"/>
        <c:noMultiLvlLbl val="0"/>
      </c:catAx>
      <c:valAx>
        <c:axId val="1313563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How would you rate your Cat Coffee House experience today?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467208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[Ex5B Survey Results.xlsx]Sheet3!PivotTable2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DD5A13"/>
                </a:solidFill>
              </a:rPr>
              <a:t>'Would Cat Coffee House rewards interest you?'.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FFFF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Sheet3!$B$2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382-4B9B-85BD-1D24EF34C286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382-4B9B-85BD-1D24EF34C286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1382-4B9B-85BD-1D24EF34C286}"/>
              </c:ext>
            </c:extLst>
          </c:dPt>
          <c:cat>
            <c:strRef>
              <c:f>Sheet3!$A$3:$A$6</c:f>
              <c:strCache>
                <c:ptCount val="3"/>
                <c:pt idx="0">
                  <c:v>Yes</c:v>
                </c:pt>
                <c:pt idx="1">
                  <c:v>Maybe</c:v>
                </c:pt>
                <c:pt idx="2">
                  <c:v>No</c:v>
                </c:pt>
              </c:strCache>
            </c:strRef>
          </c:cat>
          <c:val>
            <c:numRef>
              <c:f>Sheet3!$B$3:$B$6</c:f>
              <c:numCache>
                <c:formatCode>General</c:formatCode>
                <c:ptCount val="3"/>
                <c:pt idx="0">
                  <c:v>7</c:v>
                </c:pt>
                <c:pt idx="1">
                  <c:v>3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382-4B9B-85BD-1D24EF34C2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1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</xdr:row>
      <xdr:rowOff>0</xdr:rowOff>
    </xdr:from>
    <xdr:to>
      <xdr:col>4</xdr:col>
      <xdr:colOff>28575</xdr:colOff>
      <xdr:row>29</xdr:row>
      <xdr:rowOff>76200</xdr:rowOff>
    </xdr:to>
    <xdr:graphicFrame macro="">
      <xdr:nvGraphicFramePr>
        <xdr:cNvPr id="9" name="Chart 8" descr="Chart type: Doughnut. Yes accounts for the majority of 'Would Cat Coffee House rewards interest you?'.&#10;&#10;Description automatically generated">
          <a:extLst>
            <a:ext uri="{FF2B5EF4-FFF2-40B4-BE49-F238E27FC236}">
              <a16:creationId xmlns:a16="http://schemas.microsoft.com/office/drawing/2014/main" id="{2FFE45B2-795A-47FF-8B42-8486AC5AE6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0</xdr:rowOff>
    </xdr:from>
    <xdr:to>
      <xdr:col>4</xdr:col>
      <xdr:colOff>19050</xdr:colOff>
      <xdr:row>44</xdr:row>
      <xdr:rowOff>76200</xdr:rowOff>
    </xdr:to>
    <xdr:graphicFrame macro="">
      <xdr:nvGraphicFramePr>
        <xdr:cNvPr id="10" name="Chart 9" descr="Chart type: Clustered Bar. 'How would you rate your Cat Coffee House experience today?' by 'What rewards would interest you most?'&#10;&#10;Description automatically generated">
          <a:extLst>
            <a:ext uri="{FF2B5EF4-FFF2-40B4-BE49-F238E27FC236}">
              <a16:creationId xmlns:a16="http://schemas.microsoft.com/office/drawing/2014/main" id="{E2DC20F8-9CAA-4870-8C0F-66BFC0D58D63}"/>
            </a:ext>
            <a:ext uri="{147F2762-F138-4A5C-976F-8EAC2B608ADB}">
              <a16:predDERef xmlns:a16="http://schemas.microsoft.com/office/drawing/2014/main" pred="{2FFE45B2-795A-47FF-8B42-8486AC5AE6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8</xdr:row>
      <xdr:rowOff>19050</xdr:rowOff>
    </xdr:from>
    <xdr:to>
      <xdr:col>1</xdr:col>
      <xdr:colOff>3857625</xdr:colOff>
      <xdr:row>22</xdr:row>
      <xdr:rowOff>95250</xdr:rowOff>
    </xdr:to>
    <xdr:graphicFrame macro="">
      <xdr:nvGraphicFramePr>
        <xdr:cNvPr id="2" name="Chart 1" descr="Chart type: Clustered Bar. 'How would you rate your Cat Coffee House experience today?' by 'What rewards would interest you most?'&#10;&#10;Description automatically generated">
          <a:extLst>
            <a:ext uri="{FF2B5EF4-FFF2-40B4-BE49-F238E27FC236}">
              <a16:creationId xmlns:a16="http://schemas.microsoft.com/office/drawing/2014/main" id="{22659753-32E1-1196-1C3F-3ED851EDD1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1</xdr:col>
      <xdr:colOff>3619500</xdr:colOff>
      <xdr:row>22</xdr:row>
      <xdr:rowOff>76200</xdr:rowOff>
    </xdr:to>
    <xdr:graphicFrame macro="">
      <xdr:nvGraphicFramePr>
        <xdr:cNvPr id="2" name="Chart 1" descr="Chart type: Doughnut. Yes accounts for the majority of 'Would Cat Coffee House rewards interest you?'.&#10;&#10;Description automatically generated">
          <a:extLst>
            <a:ext uri="{FF2B5EF4-FFF2-40B4-BE49-F238E27FC236}">
              <a16:creationId xmlns:a16="http://schemas.microsoft.com/office/drawing/2014/main" id="{3FB723B0-8170-A953-9C57-1232EF1ABE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22.816386226848" createdVersion="8" refreshedVersion="8" minRefreshableVersion="3" recordCount="11" xr:uid="{B15F1E35-E69F-4B92-B948-3C5482272F0F}">
  <cacheSource type="worksheet">
    <worksheetSource ref="G1:K12" sheet="Sheet1"/>
  </cacheSource>
  <cacheFields count="5">
    <cacheField name="How would you rate your Cat Coffee House experience today? " numFmtId="0">
      <sharedItems/>
    </cacheField>
    <cacheField name="How often do you visit the Cat Coffee House? " numFmtId="0">
      <sharedItems/>
    </cacheField>
    <cacheField name="What do you usually visit Cat Coffee House for? " numFmtId="0">
      <sharedItems/>
    </cacheField>
    <cacheField name="Would Cat Coffee House rewards interest you?" numFmtId="0">
      <sharedItems count="3">
        <s v="Yes"/>
        <s v="Maybe"/>
        <s v="No"/>
      </sharedItems>
    </cacheField>
    <cacheField name="What rewards would interest you most?" numFmtId="0">
      <sharedItems count="4">
        <s v="Free drink of choice"/>
        <s v="Cat Coffee House Merch"/>
        <s v="Free pastry of choice"/>
        <s v="Discounts on purchas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s v="Purr-fect"/>
    <s v="Daily"/>
    <s v="Spending time with the cats"/>
    <x v="0"/>
    <x v="0"/>
  </r>
  <r>
    <s v="Purr-fect"/>
    <s v="Weekly"/>
    <s v="Spending time with the cats"/>
    <x v="0"/>
    <x v="1"/>
  </r>
  <r>
    <s v="Okay"/>
    <s v="Monthly"/>
    <s v="Food and pastries"/>
    <x v="1"/>
    <x v="2"/>
  </r>
  <r>
    <s v="Purr-fect"/>
    <s v="Weekly"/>
    <s v="Food and pastries"/>
    <x v="0"/>
    <x v="0"/>
  </r>
  <r>
    <s v="Purr-fect"/>
    <s v="Yearly"/>
    <s v="Spending time with the cats"/>
    <x v="0"/>
    <x v="3"/>
  </r>
  <r>
    <s v="Purr-fect"/>
    <s v="Weekly"/>
    <s v="Coffee or tea"/>
    <x v="1"/>
    <x v="3"/>
  </r>
  <r>
    <s v="Paws-ibly better"/>
    <s v="Daily"/>
    <s v="Spending time with the cats"/>
    <x v="1"/>
    <x v="1"/>
  </r>
  <r>
    <s v="Purr-fect"/>
    <s v="Daily"/>
    <s v="Coffee or tea"/>
    <x v="0"/>
    <x v="0"/>
  </r>
  <r>
    <s v="Great"/>
    <s v="Weekly"/>
    <s v="Food and pastries"/>
    <x v="0"/>
    <x v="3"/>
  </r>
  <r>
    <s v="Purr-fect"/>
    <s v="Daily"/>
    <s v="Spending time with the cats"/>
    <x v="0"/>
    <x v="0"/>
  </r>
  <r>
    <s v="Not my cup of catnip"/>
    <s v="Yearly"/>
    <s v="Spending time with the cats"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1571FD-A988-450C-B69A-80D9B6F29BD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2:B7" firstHeaderRow="1" firstDataRow="1" firstDataCol="1"/>
  <pivotFields count="5">
    <pivotField dataField="1" showAll="0"/>
    <pivotField showAll="0"/>
    <pivotField showAll="0"/>
    <pivotField showAll="0"/>
    <pivotField axis="axisRow" showAll="0" sortType="descending">
      <items count="5">
        <item x="1"/>
        <item x="3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"/>
  </rowFields>
  <rowItems count="5">
    <i>
      <x v="2"/>
    </i>
    <i>
      <x v="1"/>
    </i>
    <i>
      <x v="3"/>
    </i>
    <i>
      <x/>
    </i>
    <i t="grand">
      <x/>
    </i>
  </rowItems>
  <colItems count="1">
    <i/>
  </colItems>
  <dataFields count="1">
    <dataField name="Count of How would you rate your Cat Coffee House experience today? " fld="0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9CD854-86E0-466C-8E99-C0159B7A9E0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2:B6" firstHeaderRow="1" firstDataRow="1" firstDataCol="1"/>
  <pivotFields count="5">
    <pivotField dataField="1" showAll="0"/>
    <pivotField showAll="0"/>
    <pivotField showAll="0"/>
    <pivotField axis="axisRow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3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Count of How would you rate your Cat Coffee House experience today? " fld="0" subtotal="count" baseField="0" baseItem="0"/>
  </dataFields>
  <chartFormats count="2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K13" totalsRowCount="1">
  <autoFilter ref="A1:K12" xr:uid="{00000000-0009-0000-0100-000001000000}"/>
  <tableColumns count="11">
    <tableColumn id="1" xr3:uid="{00000000-0010-0000-0000-000001000000}" name="Id" dataDxfId="19" totalsRowDxfId="18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 dataDxfId="17" totalsRowDxfId="16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11" xr3:uid="{DDCB58DB-01F4-4997-B290-8C998E9BA45E}" name="Time to complete" totalsRowFunction="custom" dataDxfId="15" totalsRowDxfId="14">
      <calculatedColumnFormula>C2-B2</calculatedColumnFormula>
      <totalsRowFormula>AVERAGE(OfficeForms.Table[Time to complete])</totalsRowFormula>
    </tableColumn>
    <tableColumn id="4" xr3:uid="{00000000-0010-0000-0000-000004000000}" name="Email" dataDxfId="13" totalsRowDxfId="12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11" totalsRowDxfId="10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How would you rate your Cat Coffee House experience today? " dataDxfId="9" totalsRowDxfId="8">
      <extLst>
        <ext xmlns:xlmsforms="http://schemas.microsoft.com/office/spreadsheetml/2023/msForms" uri="{FCC71383-01E1-4257-9335-427F07BE8D7F}">
          <xlmsforms:question id="rc89ff6914489453aac8104fab2a13a21"/>
        </ext>
      </extLst>
    </tableColumn>
    <tableColumn id="7" xr3:uid="{00000000-0010-0000-0000-000007000000}" name="How often do you visit the Cat Coffee House? " dataDxfId="7" totalsRowDxfId="6">
      <extLst>
        <ext xmlns:xlmsforms="http://schemas.microsoft.com/office/spreadsheetml/2023/msForms" uri="{FCC71383-01E1-4257-9335-427F07BE8D7F}">
          <xlmsforms:question id="r9c73ac7a63324048a8aa67833f5fa588"/>
        </ext>
      </extLst>
    </tableColumn>
    <tableColumn id="8" xr3:uid="{00000000-0010-0000-0000-000008000000}" name="What do you usually visit Cat Coffee House for? " dataDxfId="5" totalsRowDxfId="4">
      <extLst>
        <ext xmlns:xlmsforms="http://schemas.microsoft.com/office/spreadsheetml/2023/msForms" uri="{FCC71383-01E1-4257-9335-427F07BE8D7F}">
          <xlmsforms:question id="r354a45d8c5e545718278777eda461ce3"/>
        </ext>
      </extLst>
    </tableColumn>
    <tableColumn id="9" xr3:uid="{00000000-0010-0000-0000-000009000000}" name="Would Cat Coffee House rewards interest you?" dataDxfId="3" totalsRowDxfId="2">
      <extLst>
        <ext xmlns:xlmsforms="http://schemas.microsoft.com/office/spreadsheetml/2023/msForms" uri="{FCC71383-01E1-4257-9335-427F07BE8D7F}">
          <xlmsforms:question id="ra752c903bbdd43df8b32a7d4e393c297"/>
        </ext>
      </extLst>
    </tableColumn>
    <tableColumn id="10" xr3:uid="{00000000-0010-0000-0000-00000A000000}" name="What rewards would interest you most?" dataDxfId="1" totalsRowDxfId="0">
      <extLst>
        <ext xmlns:xlmsforms="http://schemas.microsoft.com/office/spreadsheetml/2023/msForms" uri="{FCC71383-01E1-4257-9335-427F07BE8D7F}">
          <xlmsforms:question id="r52883b679e74481f965aef17928d3570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N1zOu4HxDE2TEH-Hczbhz2Dae7cRn0tLhDxRxWlBxi5UMlRPS0lWVktZT0FOU1FOT0JYQUFBQk05Qy4u" isFormConnected="1" maxResponseId="11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rc89ff6914489453aac8104fab2a13a21</xlmsforms:syncedQuestionId>
        <xlmsforms:syncedQuestionId>r9c73ac7a63324048a8aa67833f5fa588</xlmsforms:syncedQuestionId>
        <xlmsforms:syncedQuestionId>r354a45d8c5e545718278777eda461ce3</xlmsforms:syncedQuestionId>
        <xlmsforms:syncedQuestionId>ra752c903bbdd43df8b32a7d4e393c297</xlmsforms:syncedQuestionId>
        <xlmsforms:syncedQuestionId>r52883b679e74481f965aef17928d3570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abSelected="1" topLeftCell="A21" workbookViewId="0">
      <selection activeCell="E38" sqref="E38"/>
    </sheetView>
  </sheetViews>
  <sheetFormatPr defaultRowHeight="14.4" x14ac:dyDescent="0.3"/>
  <cols>
    <col min="1" max="1" width="5.109375" bestFit="1" customWidth="1"/>
    <col min="2" max="2" width="16" style="1" bestFit="1" customWidth="1"/>
    <col min="3" max="3" width="18.5546875" bestFit="1" customWidth="1"/>
    <col min="4" max="4" width="34.33203125" bestFit="1" customWidth="1"/>
    <col min="5" max="5" width="24.6640625" customWidth="1"/>
    <col min="6" max="6" width="23.33203125" customWidth="1"/>
    <col min="7" max="7" width="45.109375" bestFit="1" customWidth="1"/>
    <col min="8" max="8" width="47.109375" bestFit="1" customWidth="1"/>
    <col min="9" max="9" width="46.33203125" bestFit="1" customWidth="1"/>
    <col min="10" max="11" width="40.109375" bestFit="1" customWidth="1"/>
  </cols>
  <sheetData>
    <row r="1" spans="1:11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s="1">
        <v>46120.913344907407</v>
      </c>
      <c r="C2" s="1">
        <v>46120.913738425923</v>
      </c>
      <c r="D2" s="2">
        <f t="shared" ref="D2:D12" si="0">C2-B2</f>
        <v>3.9351851592073217E-4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</row>
    <row r="3" spans="1:11" x14ac:dyDescent="0.3">
      <c r="A3">
        <v>2</v>
      </c>
      <c r="B3" s="1">
        <v>46120.949421296296</v>
      </c>
      <c r="C3" s="1">
        <v>46120.950312499997</v>
      </c>
      <c r="D3" s="2">
        <f t="shared" si="0"/>
        <v>8.9120370103046298E-4</v>
      </c>
      <c r="E3" t="s">
        <v>18</v>
      </c>
      <c r="F3" t="s">
        <v>19</v>
      </c>
      <c r="G3" t="s">
        <v>13</v>
      </c>
      <c r="H3" t="s">
        <v>20</v>
      </c>
      <c r="I3" t="s">
        <v>15</v>
      </c>
      <c r="J3" t="s">
        <v>16</v>
      </c>
      <c r="K3" t="s">
        <v>21</v>
      </c>
    </row>
    <row r="4" spans="1:11" x14ac:dyDescent="0.3">
      <c r="A4">
        <v>3</v>
      </c>
      <c r="B4" s="1">
        <v>46120.953321759262</v>
      </c>
      <c r="C4" s="1">
        <v>46120.953842592593</v>
      </c>
      <c r="D4" s="2">
        <f t="shared" si="0"/>
        <v>5.2083333139307797E-4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</row>
    <row r="5" spans="1:11" x14ac:dyDescent="0.3">
      <c r="A5">
        <v>4</v>
      </c>
      <c r="B5" s="1">
        <v>46121.040972222225</v>
      </c>
      <c r="C5" s="1">
        <v>46121.041145833333</v>
      </c>
      <c r="D5" s="2">
        <f t="shared" si="0"/>
        <v>1.7361110803904012E-4</v>
      </c>
      <c r="E5" t="s">
        <v>29</v>
      </c>
      <c r="F5" t="s">
        <v>30</v>
      </c>
      <c r="G5" t="s">
        <v>13</v>
      </c>
      <c r="H5" t="s">
        <v>20</v>
      </c>
      <c r="I5" t="s">
        <v>26</v>
      </c>
      <c r="J5" t="s">
        <v>16</v>
      </c>
      <c r="K5" t="s">
        <v>17</v>
      </c>
    </row>
    <row r="6" spans="1:11" x14ac:dyDescent="0.3">
      <c r="A6">
        <v>5</v>
      </c>
      <c r="B6" s="1">
        <v>46121.413252314815</v>
      </c>
      <c r="C6" s="1">
        <v>46121.413900462961</v>
      </c>
      <c r="D6" s="2">
        <f t="shared" si="0"/>
        <v>6.4814814686542377E-4</v>
      </c>
      <c r="E6" t="s">
        <v>31</v>
      </c>
      <c r="F6" t="s">
        <v>32</v>
      </c>
      <c r="G6" t="s">
        <v>13</v>
      </c>
      <c r="H6" t="s">
        <v>33</v>
      </c>
      <c r="I6" t="s">
        <v>15</v>
      </c>
      <c r="J6" t="s">
        <v>16</v>
      </c>
      <c r="K6" t="s">
        <v>34</v>
      </c>
    </row>
    <row r="7" spans="1:11" x14ac:dyDescent="0.3">
      <c r="A7">
        <v>6</v>
      </c>
      <c r="B7" s="1">
        <v>46121.432974537034</v>
      </c>
      <c r="C7" s="1">
        <v>46121.433530092596</v>
      </c>
      <c r="D7" s="2">
        <f t="shared" si="0"/>
        <v>5.5555556173203513E-4</v>
      </c>
      <c r="E7" t="s">
        <v>35</v>
      </c>
      <c r="F7" t="s">
        <v>36</v>
      </c>
      <c r="G7" t="s">
        <v>13</v>
      </c>
      <c r="H7" t="s">
        <v>20</v>
      </c>
      <c r="I7" t="s">
        <v>37</v>
      </c>
      <c r="J7" t="s">
        <v>27</v>
      </c>
      <c r="K7" t="s">
        <v>34</v>
      </c>
    </row>
    <row r="8" spans="1:11" x14ac:dyDescent="0.3">
      <c r="A8">
        <v>7</v>
      </c>
      <c r="B8" s="1">
        <v>46121.519537037035</v>
      </c>
      <c r="C8" s="1">
        <v>46121.520104166666</v>
      </c>
      <c r="D8" s="2">
        <f t="shared" si="0"/>
        <v>5.671296312357299E-4</v>
      </c>
      <c r="E8" t="s">
        <v>38</v>
      </c>
      <c r="F8" t="s">
        <v>39</v>
      </c>
      <c r="G8" t="s">
        <v>40</v>
      </c>
      <c r="H8" t="s">
        <v>14</v>
      </c>
      <c r="I8" t="s">
        <v>15</v>
      </c>
      <c r="J8" t="s">
        <v>27</v>
      </c>
      <c r="K8" t="s">
        <v>21</v>
      </c>
    </row>
    <row r="9" spans="1:11" x14ac:dyDescent="0.3">
      <c r="A9">
        <v>8</v>
      </c>
      <c r="B9" s="1">
        <v>46121.538981481484</v>
      </c>
      <c r="C9" s="1">
        <v>46121.539548611108</v>
      </c>
      <c r="D9" s="2">
        <f t="shared" si="0"/>
        <v>5.6712962395977229E-4</v>
      </c>
      <c r="E9" t="s">
        <v>41</v>
      </c>
      <c r="F9" t="s">
        <v>42</v>
      </c>
      <c r="G9" t="s">
        <v>13</v>
      </c>
      <c r="H9" t="s">
        <v>14</v>
      </c>
      <c r="I9" t="s">
        <v>37</v>
      </c>
      <c r="J9" t="s">
        <v>16</v>
      </c>
      <c r="K9" t="s">
        <v>17</v>
      </c>
    </row>
    <row r="10" spans="1:11" x14ac:dyDescent="0.3">
      <c r="A10">
        <v>9</v>
      </c>
      <c r="B10" s="1">
        <v>46121.65761574074</v>
      </c>
      <c r="C10" s="1">
        <v>46121.658414351848</v>
      </c>
      <c r="D10" s="2">
        <f t="shared" si="0"/>
        <v>7.9861110862111673E-4</v>
      </c>
      <c r="E10" t="s">
        <v>43</v>
      </c>
      <c r="F10" t="s">
        <v>44</v>
      </c>
      <c r="G10" t="s">
        <v>45</v>
      </c>
      <c r="H10" t="s">
        <v>20</v>
      </c>
      <c r="I10" t="s">
        <v>26</v>
      </c>
      <c r="J10" t="s">
        <v>16</v>
      </c>
      <c r="K10" t="s">
        <v>34</v>
      </c>
    </row>
    <row r="11" spans="1:11" x14ac:dyDescent="0.3">
      <c r="A11">
        <v>10</v>
      </c>
      <c r="B11" s="1">
        <v>46122.452060185184</v>
      </c>
      <c r="C11" s="1">
        <v>46122.452361111114</v>
      </c>
      <c r="D11" s="2">
        <f t="shared" si="0"/>
        <v>3.0092593078734353E-4</v>
      </c>
      <c r="E11" t="s">
        <v>46</v>
      </c>
      <c r="F11" t="s">
        <v>47</v>
      </c>
      <c r="G11" t="s">
        <v>13</v>
      </c>
      <c r="H11" t="s">
        <v>14</v>
      </c>
      <c r="I11" t="s">
        <v>15</v>
      </c>
      <c r="J11" t="s">
        <v>16</v>
      </c>
      <c r="K11" t="s">
        <v>17</v>
      </c>
    </row>
    <row r="12" spans="1:11" x14ac:dyDescent="0.3">
      <c r="A12">
        <v>11</v>
      </c>
      <c r="B12" s="1">
        <v>46122.50236111111</v>
      </c>
      <c r="C12" s="1">
        <v>46122.502662037034</v>
      </c>
      <c r="D12" s="2">
        <f t="shared" si="0"/>
        <v>3.0092592351138592E-4</v>
      </c>
      <c r="E12" t="s">
        <v>48</v>
      </c>
      <c r="F12" t="s">
        <v>49</v>
      </c>
      <c r="G12" t="s">
        <v>50</v>
      </c>
      <c r="H12" t="s">
        <v>33</v>
      </c>
      <c r="I12" t="s">
        <v>15</v>
      </c>
      <c r="J12" t="s">
        <v>51</v>
      </c>
      <c r="K12" t="s">
        <v>28</v>
      </c>
    </row>
    <row r="13" spans="1:11" x14ac:dyDescent="0.3">
      <c r="D13" s="2">
        <f>AVERAGE(OfficeForms.Table[Time to complete])</f>
        <v>5.1978114391782913E-4</v>
      </c>
      <c r="E13" s="3"/>
      <c r="F13" s="3"/>
      <c r="G13" s="3"/>
      <c r="H13" s="3"/>
      <c r="I13" s="3"/>
      <c r="J13" s="3"/>
      <c r="K13" s="3"/>
    </row>
    <row r="14" spans="1:11" x14ac:dyDescent="0.3">
      <c r="G14" s="4"/>
    </row>
    <row r="16" spans="1:11" x14ac:dyDescent="0.3">
      <c r="F16" s="5" t="s">
        <v>52</v>
      </c>
    </row>
    <row r="17" spans="6:6" x14ac:dyDescent="0.3">
      <c r="F17" s="5">
        <f>COUNTIF(G2:G12,"Purr-fect")</f>
        <v>7</v>
      </c>
    </row>
    <row r="18" spans="6:6" x14ac:dyDescent="0.3">
      <c r="F18" s="5"/>
    </row>
    <row r="19" spans="6:6" x14ac:dyDescent="0.3">
      <c r="F19" s="5" t="s">
        <v>53</v>
      </c>
    </row>
    <row r="20" spans="6:6" x14ac:dyDescent="0.3">
      <c r="F20" s="5">
        <f>COUNTIF(G2:G12,"Great")</f>
        <v>1</v>
      </c>
    </row>
    <row r="21" spans="6:6" x14ac:dyDescent="0.3">
      <c r="F21" s="5"/>
    </row>
    <row r="22" spans="6:6" x14ac:dyDescent="0.3">
      <c r="F22" s="5" t="s">
        <v>54</v>
      </c>
    </row>
    <row r="23" spans="6:6" x14ac:dyDescent="0.3">
      <c r="F23" s="5">
        <f>COUNTIF(G2:G12,"Okay")</f>
        <v>1</v>
      </c>
    </row>
    <row r="24" spans="6:6" x14ac:dyDescent="0.3">
      <c r="F24" s="5"/>
    </row>
    <row r="25" spans="6:6" x14ac:dyDescent="0.3">
      <c r="F25" s="5" t="s">
        <v>55</v>
      </c>
    </row>
    <row r="26" spans="6:6" x14ac:dyDescent="0.3">
      <c r="F26" s="5">
        <f>COUNTIF(G2:G12,"Paws-ibly better")</f>
        <v>1</v>
      </c>
    </row>
    <row r="27" spans="6:6" x14ac:dyDescent="0.3">
      <c r="F27" s="5"/>
    </row>
    <row r="28" spans="6:6" x14ac:dyDescent="0.3">
      <c r="F28" s="5" t="s">
        <v>56</v>
      </c>
    </row>
    <row r="29" spans="6:6" x14ac:dyDescent="0.3">
      <c r="F29" s="5">
        <f>COUNTIF(G2:G12,"Not my cup of catnip")</f>
        <v>1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165DC-9441-4393-A89A-BB98B0DA3AA9}">
  <dimension ref="A2:B7"/>
  <sheetViews>
    <sheetView workbookViewId="0">
      <selection activeCell="C9" sqref="C9"/>
    </sheetView>
  </sheetViews>
  <sheetFormatPr defaultRowHeight="14.4" x14ac:dyDescent="0.3"/>
  <cols>
    <col min="1" max="1" width="22.88671875" bestFit="1" customWidth="1"/>
    <col min="2" max="2" width="66.44140625" customWidth="1"/>
  </cols>
  <sheetData>
    <row r="2" spans="1:2" x14ac:dyDescent="0.3">
      <c r="A2" s="6" t="s">
        <v>57</v>
      </c>
      <c r="B2" t="s">
        <v>58</v>
      </c>
    </row>
    <row r="3" spans="1:2" x14ac:dyDescent="0.3">
      <c r="A3" s="7" t="s">
        <v>17</v>
      </c>
      <c r="B3">
        <v>4</v>
      </c>
    </row>
    <row r="4" spans="1:2" x14ac:dyDescent="0.3">
      <c r="A4" s="7" t="s">
        <v>34</v>
      </c>
      <c r="B4">
        <v>3</v>
      </c>
    </row>
    <row r="5" spans="1:2" x14ac:dyDescent="0.3">
      <c r="A5" s="7" t="s">
        <v>28</v>
      </c>
      <c r="B5">
        <v>2</v>
      </c>
    </row>
    <row r="6" spans="1:2" x14ac:dyDescent="0.3">
      <c r="A6" s="7" t="s">
        <v>21</v>
      </c>
      <c r="B6">
        <v>2</v>
      </c>
    </row>
    <row r="7" spans="1:2" x14ac:dyDescent="0.3">
      <c r="A7" s="7" t="s">
        <v>59</v>
      </c>
      <c r="B7">
        <v>11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A9E1D-FAFB-4ECB-8F49-ACA0D4BA5D41}">
  <dimension ref="A2:B6"/>
  <sheetViews>
    <sheetView workbookViewId="0">
      <selection activeCell="H18" sqref="H18"/>
    </sheetView>
  </sheetViews>
  <sheetFormatPr defaultRowHeight="14.4" x14ac:dyDescent="0.3"/>
  <cols>
    <col min="1" max="1" width="14.33203125" bestFit="1" customWidth="1"/>
    <col min="2" max="2" width="66.44140625" bestFit="1" customWidth="1"/>
  </cols>
  <sheetData>
    <row r="2" spans="1:2" x14ac:dyDescent="0.3">
      <c r="A2" s="6" t="s">
        <v>57</v>
      </c>
      <c r="B2" t="s">
        <v>58</v>
      </c>
    </row>
    <row r="3" spans="1:2" x14ac:dyDescent="0.3">
      <c r="A3" s="7" t="s">
        <v>16</v>
      </c>
      <c r="B3">
        <v>7</v>
      </c>
    </row>
    <row r="4" spans="1:2" x14ac:dyDescent="0.3">
      <c r="A4" s="7" t="s">
        <v>27</v>
      </c>
      <c r="B4">
        <v>3</v>
      </c>
    </row>
    <row r="5" spans="1:2" x14ac:dyDescent="0.3">
      <c r="A5" s="7" t="s">
        <v>51</v>
      </c>
      <c r="B5">
        <v>1</v>
      </c>
    </row>
    <row r="6" spans="1:2" x14ac:dyDescent="0.3">
      <c r="A6" s="7" t="s">
        <v>59</v>
      </c>
      <c r="B6">
        <v>11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victoria ordonez</dc:creator>
  <cp:keywords/>
  <dc:description/>
  <cp:lastModifiedBy>victoria ordonez</cp:lastModifiedBy>
  <cp:revision/>
  <dcterms:created xsi:type="dcterms:W3CDTF">2026-04-10T19:17:35Z</dcterms:created>
  <dcterms:modified xsi:type="dcterms:W3CDTF">2026-04-10T23:42:10Z</dcterms:modified>
  <cp:category/>
  <cp:contentStatus/>
</cp:coreProperties>
</file>